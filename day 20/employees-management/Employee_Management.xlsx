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" sheetId="1" state="visible" r:id="rId3"/>
    <sheet name="Attendance" sheetId="2" state="visible" r:id="rId4"/>
    <sheet name="Salary Records" sheetId="3" state="visible" r:id="rId5"/>
    <sheet name="Leave Reques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<sst xmlns="http://schemas.openxmlformats.org/spreadsheetml/2006/main" count="266" uniqueCount="97">
  <si>
    <t xml:space="preserve">Employee Management System — Employee Directory</t>
  </si>
  <si>
    <t xml:space="preserve">Emp ID</t>
  </si>
  <si>
    <t xml:space="preserve">ID</t>
  </si>
  <si>
    <t xml:space="preserve">Name</t>
  </si>
  <si>
    <t xml:space="preserve">Role</t>
  </si>
  <si>
    <t xml:space="preserve">Department</t>
  </si>
  <si>
    <t xml:space="preserve">Status</t>
  </si>
  <si>
    <t xml:space="preserve">Email</t>
  </si>
  <si>
    <t xml:space="preserve">Username</t>
  </si>
  <si>
    <t xml:space="preserve">Joining Date</t>
  </si>
  <si>
    <t xml:space="preserve">Salary (Monthly)</t>
  </si>
  <si>
    <t xml:space="preserve">Salary (Annual)</t>
  </si>
  <si>
    <t xml:space="preserve">EMP-0007</t>
  </si>
  <si>
    <t xml:space="preserve">Bala</t>
  </si>
  <si>
    <t xml:space="preserve">Software Engineer</t>
  </si>
  <si>
    <t xml:space="preserve">Engineering</t>
  </si>
  <si>
    <t xml:space="preserve">Active</t>
  </si>
  <si>
    <t xml:space="preserve">bala@company.com</t>
  </si>
  <si>
    <t xml:space="preserve">bala</t>
  </si>
  <si>
    <t xml:space="preserve">2024-01-10</t>
  </si>
  <si>
    <t xml:space="preserve">EMP-0008</t>
  </si>
  <si>
    <t xml:space="preserve">Asbar</t>
  </si>
  <si>
    <t xml:space="preserve">UI Designer</t>
  </si>
  <si>
    <t xml:space="preserve">Design</t>
  </si>
  <si>
    <t xml:space="preserve">asbar@company.com</t>
  </si>
  <si>
    <t xml:space="preserve">asbar</t>
  </si>
  <si>
    <t xml:space="preserve">2024-02-15</t>
  </si>
  <si>
    <t xml:space="preserve">EMP-0009</t>
  </si>
  <si>
    <t xml:space="preserve">Nithis</t>
  </si>
  <si>
    <t xml:space="preserve">Data Analyst</t>
  </si>
  <si>
    <t xml:space="preserve">Analytics</t>
  </si>
  <si>
    <t xml:space="preserve">nithis@company.com</t>
  </si>
  <si>
    <t xml:space="preserve">nithis</t>
  </si>
  <si>
    <t xml:space="preserve">2024-03-20</t>
  </si>
  <si>
    <t xml:space="preserve">EMP-0010</t>
  </si>
  <si>
    <t xml:space="preserve">Kamalesh</t>
  </si>
  <si>
    <t xml:space="preserve">HR Specialist</t>
  </si>
  <si>
    <t xml:space="preserve">People</t>
  </si>
  <si>
    <t xml:space="preserve">kamalesh@company.com</t>
  </si>
  <si>
    <t xml:space="preserve">kamalesh</t>
  </si>
  <si>
    <t xml:space="preserve">2024-04-05</t>
  </si>
  <si>
    <t xml:space="preserve">EMP-0012</t>
  </si>
  <si>
    <t xml:space="preserve">tony</t>
  </si>
  <si>
    <t xml:space="preserve">ai</t>
  </si>
  <si>
    <t xml:space="preserve">ece</t>
  </si>
  <si>
    <t xml:space="preserve">tony@company.com</t>
  </si>
  <si>
    <t xml:space="preserve">2026-07-09</t>
  </si>
  <si>
    <t xml:space="preserve">EMP-0013</t>
  </si>
  <si>
    <t xml:space="preserve">ashes</t>
  </si>
  <si>
    <t xml:space="preserve">software developer</t>
  </si>
  <si>
    <t xml:space="preserve">dev ops</t>
  </si>
  <si>
    <t xml:space="preserve">ashes@company.com</t>
  </si>
  <si>
    <t xml:space="preserve">2026-07-17</t>
  </si>
  <si>
    <t xml:space="preserve">Total Monthly Payroll:</t>
  </si>
  <si>
    <t xml:space="preserve">Headcount:</t>
  </si>
  <si>
    <t xml:space="preserve">Attendance Records</t>
  </si>
  <si>
    <t xml:space="preserve">Employee Name</t>
  </si>
  <si>
    <t xml:space="preserve">Date</t>
  </si>
  <si>
    <t xml:space="preserve">Note</t>
  </si>
  <si>
    <t xml:space="preserve">Present</t>
  </si>
  <si>
    <t xml:space="preserve">Auto-recorded</t>
  </si>
  <si>
    <t xml:space="preserve">2026-07-13</t>
  </si>
  <si>
    <t xml:space="preserve">Absent</t>
  </si>
  <si>
    <t xml:space="preserve">Half Day</t>
  </si>
  <si>
    <t xml:space="preserve">-</t>
  </si>
  <si>
    <t xml:space="preserve">No records</t>
  </si>
  <si>
    <t xml:space="preserve">Summary</t>
  </si>
  <si>
    <t xml:space="preserve">Present:</t>
  </si>
  <si>
    <t xml:space="preserve">Absent:</t>
  </si>
  <si>
    <t xml:space="preserve">Half Day:</t>
  </si>
  <si>
    <t xml:space="preserve">Salary / Payroll Records</t>
  </si>
  <si>
    <t xml:space="preserve">Month</t>
  </si>
  <si>
    <t xml:space="preserve">Year</t>
  </si>
  <si>
    <t xml:space="preserve">Amount</t>
  </si>
  <si>
    <t xml:space="preserve">Paid On</t>
  </si>
  <si>
    <t xml:space="preserve">Apr</t>
  </si>
  <si>
    <t xml:space="preserve">Paid</t>
  </si>
  <si>
    <t xml:space="preserve">2026-04-03</t>
  </si>
  <si>
    <t xml:space="preserve">May</t>
  </si>
  <si>
    <t xml:space="preserve">2026-05-03</t>
  </si>
  <si>
    <t xml:space="preserve">Jun</t>
  </si>
  <si>
    <t xml:space="preserve">2026-06-03</t>
  </si>
  <si>
    <t xml:space="preserve">Jul</t>
  </si>
  <si>
    <t xml:space="preserve">2026-07-03</t>
  </si>
  <si>
    <t xml:space="preserve">Total Paid:</t>
  </si>
  <si>
    <t xml:space="preserve">Leave Requests</t>
  </si>
  <si>
    <t xml:space="preserve">Leave Type</t>
  </si>
  <si>
    <t xml:space="preserve">From</t>
  </si>
  <si>
    <t xml:space="preserve">To</t>
  </si>
  <si>
    <t xml:space="preserve">Days</t>
  </si>
  <si>
    <t xml:space="preserve">Reason</t>
  </si>
  <si>
    <t xml:space="preserve">Applied On</t>
  </si>
  <si>
    <t xml:space="preserve">Sick Leave</t>
  </si>
  <si>
    <t xml:space="preserve">2026-07-18</t>
  </si>
  <si>
    <t xml:space="preserve">2026-07-20</t>
  </si>
  <si>
    <t xml:space="preserve">family</t>
  </si>
  <si>
    <t xml:space="preserve">Approved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</si>
</sst>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1" min="10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6" hidden="false" customHeight="true" outlineLevel="0" collapsed="false"/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customFormat="false" ht="15" hidden="false" customHeight="false" outlineLevel="0" collapsed="false">
      <c r="A4" s="3" t="s">
        <v>12</v>
      </c>
      <c r="B4" s="3" t="n">
        <v>7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4" t="n">
        <v>140000</v>
      </c>
      <c r="K4" s="4" t="n">
        <f aca="false">J4*12</f>
        <v>1680000</v>
      </c>
    </row>
    <row r="5" customFormat="false" ht="15" hidden="false" customHeight="false" outlineLevel="0" collapsed="false">
      <c r="A5" s="5" t="s">
        <v>20</v>
      </c>
      <c r="B5" s="5" t="n">
        <v>8</v>
      </c>
      <c r="C5" s="5" t="s">
        <v>21</v>
      </c>
      <c r="D5" s="5" t="s">
        <v>22</v>
      </c>
      <c r="E5" s="5" t="s">
        <v>23</v>
      </c>
      <c r="F5" s="5" t="s">
        <v>16</v>
      </c>
      <c r="G5" s="5" t="s">
        <v>24</v>
      </c>
      <c r="H5" s="5" t="s">
        <v>25</v>
      </c>
      <c r="I5" s="5" t="s">
        <v>26</v>
      </c>
      <c r="J5" s="6" t="n">
        <v>93000</v>
      </c>
      <c r="K5" s="6" t="n">
        <f aca="false">J5*12</f>
        <v>1116000</v>
      </c>
    </row>
    <row r="6" customFormat="false" ht="15" hidden="false" customHeight="false" outlineLevel="0" collapsed="false">
      <c r="A6" s="3" t="s">
        <v>27</v>
      </c>
      <c r="B6" s="3" t="n">
        <v>9</v>
      </c>
      <c r="C6" s="3" t="s">
        <v>28</v>
      </c>
      <c r="D6" s="3" t="s">
        <v>29</v>
      </c>
      <c r="E6" s="3" t="s">
        <v>30</v>
      </c>
      <c r="F6" s="3" t="s">
        <v>16</v>
      </c>
      <c r="G6" s="3" t="s">
        <v>31</v>
      </c>
      <c r="H6" s="3" t="s">
        <v>32</v>
      </c>
      <c r="I6" s="3" t="s">
        <v>33</v>
      </c>
      <c r="J6" s="4" t="n">
        <v>101000</v>
      </c>
      <c r="K6" s="4" t="n">
        <f aca="false">J6*12</f>
        <v>1212000</v>
      </c>
    </row>
    <row r="7" customFormat="false" ht="15" hidden="false" customHeight="false" outlineLevel="0" collapsed="false">
      <c r="A7" s="5" t="s">
        <v>34</v>
      </c>
      <c r="B7" s="5" t="n">
        <v>10</v>
      </c>
      <c r="C7" s="5" t="s">
        <v>35</v>
      </c>
      <c r="D7" s="5" t="s">
        <v>36</v>
      </c>
      <c r="E7" s="5" t="s">
        <v>37</v>
      </c>
      <c r="F7" s="5" t="s">
        <v>16</v>
      </c>
      <c r="G7" s="5" t="s">
        <v>38</v>
      </c>
      <c r="H7" s="5" t="s">
        <v>39</v>
      </c>
      <c r="I7" s="5" t="s">
        <v>40</v>
      </c>
      <c r="J7" s="6" t="n">
        <v>64000</v>
      </c>
      <c r="K7" s="6" t="n">
        <f aca="false">J7*12</f>
        <v>768000</v>
      </c>
    </row>
    <row r="8" customFormat="false" ht="15" hidden="false" customHeight="false" outlineLevel="0" collapsed="false">
      <c r="A8" s="3" t="s">
        <v>41</v>
      </c>
      <c r="B8" s="3" t="n">
        <v>12</v>
      </c>
      <c r="C8" s="3" t="s">
        <v>42</v>
      </c>
      <c r="D8" s="3" t="s">
        <v>43</v>
      </c>
      <c r="E8" s="3" t="s">
        <v>44</v>
      </c>
      <c r="F8" s="3" t="s">
        <v>16</v>
      </c>
      <c r="G8" s="3" t="s">
        <v>45</v>
      </c>
      <c r="H8" s="3" t="s">
        <v>42</v>
      </c>
      <c r="I8" s="3" t="s">
        <v>46</v>
      </c>
      <c r="J8" s="4" t="n">
        <v>200000</v>
      </c>
      <c r="K8" s="4" t="n">
        <f aca="false">J8*12</f>
        <v>2400000</v>
      </c>
    </row>
    <row r="9" customFormat="false" ht="15" hidden="false" customHeight="false" outlineLevel="0" collapsed="false">
      <c r="A9" s="5" t="s">
        <v>47</v>
      </c>
      <c r="B9" s="5" t="n">
        <v>13</v>
      </c>
      <c r="C9" s="5" t="s">
        <v>48</v>
      </c>
      <c r="D9" s="5" t="s">
        <v>49</v>
      </c>
      <c r="E9" s="5" t="s">
        <v>50</v>
      </c>
      <c r="F9" s="5" t="s">
        <v>16</v>
      </c>
      <c r="G9" s="5" t="s">
        <v>51</v>
      </c>
      <c r="H9" s="5" t="s">
        <v>48</v>
      </c>
      <c r="I9" s="5" t="s">
        <v>52</v>
      </c>
      <c r="J9" s="6" t="n">
        <v>100000</v>
      </c>
      <c r="K9" s="6" t="n">
        <f aca="false">J9*12</f>
        <v>1200000</v>
      </c>
    </row>
    <row r="11" customFormat="false" ht="15" hidden="false" customHeight="false" outlineLevel="0" collapsed="false">
      <c r="I11" s="7" t="s">
        <v>53</v>
      </c>
      <c r="J11" s="8" t="n">
        <f aca="false">SUM(J4:J9)</f>
        <v>698000</v>
      </c>
    </row>
    <row r="12" customFormat="false" ht="15" hidden="false" customHeight="false" outlineLevel="0" collapsed="false">
      <c r="I12" s="7" t="s">
        <v>54</v>
      </c>
      <c r="J12" s="7" t="n">
        <f aca="false">COUNTA(A4:A9)</f>
        <v>6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22"/>
  </cols>
  <sheetData>
    <row r="1" customFormat="false" ht="25.5" hidden="false" customHeight="true" outlineLevel="0" collapsed="false">
      <c r="A1" s="1" t="s">
        <v>55</v>
      </c>
      <c r="B1" s="1"/>
      <c r="C1" s="1"/>
      <c r="D1" s="1"/>
      <c r="E1" s="1"/>
    </row>
    <row r="2" customFormat="false" ht="6" hidden="false" customHeight="true" outlineLevel="0" collapsed="false"/>
    <row r="3" customFormat="false" ht="15" hidden="false" customHeight="false" outlineLevel="0" collapsed="false">
      <c r="A3" s="2" t="s">
        <v>1</v>
      </c>
      <c r="B3" s="2" t="s">
        <v>56</v>
      </c>
      <c r="C3" s="2" t="s">
        <v>57</v>
      </c>
      <c r="D3" s="2" t="s">
        <v>6</v>
      </c>
      <c r="E3" s="2" t="s">
        <v>58</v>
      </c>
    </row>
    <row r="4" customFormat="false" ht="15" hidden="false" customHeight="false" outlineLevel="0" collapsed="false">
      <c r="A4" s="3" t="s">
        <v>12</v>
      </c>
      <c r="B4" s="3" t="s">
        <v>13</v>
      </c>
      <c r="C4" s="3" t="s">
        <v>46</v>
      </c>
      <c r="D4" s="3" t="s">
        <v>59</v>
      </c>
      <c r="E4" s="3" t="s">
        <v>60</v>
      </c>
    </row>
    <row r="5" customFormat="false" ht="15" hidden="false" customHeight="false" outlineLevel="0" collapsed="false">
      <c r="A5" s="5" t="s">
        <v>12</v>
      </c>
      <c r="B5" s="5" t="s">
        <v>13</v>
      </c>
      <c r="C5" s="5" t="s">
        <v>61</v>
      </c>
      <c r="D5" s="5" t="s">
        <v>62</v>
      </c>
      <c r="E5" s="5"/>
    </row>
    <row r="6" customFormat="false" ht="15" hidden="false" customHeight="false" outlineLevel="0" collapsed="false">
      <c r="A6" s="3" t="s">
        <v>12</v>
      </c>
      <c r="B6" s="3" t="s">
        <v>13</v>
      </c>
      <c r="C6" s="3" t="s">
        <v>52</v>
      </c>
      <c r="D6" s="3" t="s">
        <v>59</v>
      </c>
      <c r="E6" s="3"/>
    </row>
    <row r="7" customFormat="false" ht="15" hidden="false" customHeight="false" outlineLevel="0" collapsed="false">
      <c r="A7" s="5" t="s">
        <v>20</v>
      </c>
      <c r="B7" s="5" t="s">
        <v>21</v>
      </c>
      <c r="C7" s="5" t="s">
        <v>46</v>
      </c>
      <c r="D7" s="5" t="s">
        <v>59</v>
      </c>
      <c r="E7" s="5" t="s">
        <v>60</v>
      </c>
    </row>
    <row r="8" customFormat="false" ht="15" hidden="false" customHeight="false" outlineLevel="0" collapsed="false">
      <c r="A8" s="3" t="s">
        <v>20</v>
      </c>
      <c r="B8" s="3" t="s">
        <v>21</v>
      </c>
      <c r="C8" s="3" t="s">
        <v>61</v>
      </c>
      <c r="D8" s="3" t="s">
        <v>59</v>
      </c>
      <c r="E8" s="3"/>
    </row>
    <row r="9" customFormat="false" ht="15" hidden="false" customHeight="false" outlineLevel="0" collapsed="false">
      <c r="A9" s="5" t="s">
        <v>27</v>
      </c>
      <c r="B9" s="5" t="s">
        <v>28</v>
      </c>
      <c r="C9" s="5" t="s">
        <v>46</v>
      </c>
      <c r="D9" s="5" t="s">
        <v>62</v>
      </c>
      <c r="E9" s="5"/>
    </row>
    <row r="10" customFormat="false" ht="15" hidden="false" customHeight="false" outlineLevel="0" collapsed="false">
      <c r="A10" s="3" t="s">
        <v>27</v>
      </c>
      <c r="B10" s="3" t="s">
        <v>28</v>
      </c>
      <c r="C10" s="3" t="s">
        <v>61</v>
      </c>
      <c r="D10" s="3" t="s">
        <v>62</v>
      </c>
      <c r="E10" s="3"/>
    </row>
    <row r="11" customFormat="false" ht="15" hidden="false" customHeight="false" outlineLevel="0" collapsed="false">
      <c r="A11" s="5" t="s">
        <v>34</v>
      </c>
      <c r="B11" s="5" t="s">
        <v>35</v>
      </c>
      <c r="C11" s="5" t="s">
        <v>46</v>
      </c>
      <c r="D11" s="5" t="s">
        <v>59</v>
      </c>
      <c r="E11" s="5" t="s">
        <v>60</v>
      </c>
    </row>
    <row r="12" customFormat="false" ht="15" hidden="false" customHeight="false" outlineLevel="0" collapsed="false">
      <c r="A12" s="3" t="s">
        <v>34</v>
      </c>
      <c r="B12" s="3" t="s">
        <v>35</v>
      </c>
      <c r="C12" s="3" t="s">
        <v>61</v>
      </c>
      <c r="D12" s="3" t="s">
        <v>62</v>
      </c>
      <c r="E12" s="3"/>
    </row>
    <row r="13" customFormat="false" ht="15" hidden="false" customHeight="false" outlineLevel="0" collapsed="false">
      <c r="A13" s="5" t="s">
        <v>41</v>
      </c>
      <c r="B13" s="5" t="s">
        <v>42</v>
      </c>
      <c r="C13" s="5" t="s">
        <v>61</v>
      </c>
      <c r="D13" s="5" t="s">
        <v>63</v>
      </c>
      <c r="E13" s="5"/>
    </row>
    <row r="14" customFormat="false" ht="15" hidden="false" customHeight="false" outlineLevel="0" collapsed="false">
      <c r="A14" s="3" t="s">
        <v>47</v>
      </c>
      <c r="B14" s="3" t="s">
        <v>48</v>
      </c>
      <c r="C14" s="3" t="s">
        <v>64</v>
      </c>
      <c r="D14" s="3" t="s">
        <v>65</v>
      </c>
      <c r="E14" s="3"/>
    </row>
    <row r="16" customFormat="false" ht="15" hidden="false" customHeight="false" outlineLevel="0" collapsed="false">
      <c r="A16" s="7" t="s">
        <v>66</v>
      </c>
    </row>
    <row r="17" customFormat="false" ht="15" hidden="false" customHeight="false" outlineLevel="0" collapsed="false">
      <c r="A17" s="7" t="s">
        <v>67</v>
      </c>
      <c r="B17" s="7" t="n">
        <f aca="false">COUNTIF(D4:D14,"Present")</f>
        <v>5</v>
      </c>
    </row>
    <row r="18" customFormat="false" ht="15" hidden="false" customHeight="false" outlineLevel="0" collapsed="false">
      <c r="A18" s="7" t="s">
        <v>68</v>
      </c>
      <c r="B18" s="7" t="n">
        <f aca="false">COUNTIF(D4:D14,"Absent")</f>
        <v>4</v>
      </c>
    </row>
    <row r="19" customFormat="false" ht="15" hidden="false" customHeight="false" outlineLevel="0" collapsed="false">
      <c r="A19" s="7" t="s">
        <v>69</v>
      </c>
      <c r="B19" s="7" t="n">
        <f aca="false">COUNTIF(D4:D14,"Half Day")</f>
        <v>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3"/>
  </cols>
  <sheetData>
    <row r="1" customFormat="false" ht="25.5" hidden="false" customHeight="true" outlineLevel="0" collapsed="false">
      <c r="A1" s="1" t="s">
        <v>70</v>
      </c>
      <c r="B1" s="1"/>
      <c r="C1" s="1"/>
      <c r="D1" s="1"/>
      <c r="E1" s="1"/>
      <c r="F1" s="1"/>
      <c r="G1" s="1"/>
    </row>
    <row r="2" customFormat="false" ht="6" hidden="false" customHeight="true" outlineLevel="0" collapsed="false"/>
    <row r="3" customFormat="false" ht="15" hidden="false" customHeight="false" outlineLevel="0" collapsed="false">
      <c r="A3" s="2" t="s">
        <v>1</v>
      </c>
      <c r="B3" s="2" t="s">
        <v>56</v>
      </c>
      <c r="C3" s="2" t="s">
        <v>71</v>
      </c>
      <c r="D3" s="2" t="s">
        <v>72</v>
      </c>
      <c r="E3" s="2" t="s">
        <v>73</v>
      </c>
      <c r="F3" s="2" t="s">
        <v>6</v>
      </c>
      <c r="G3" s="2" t="s">
        <v>74</v>
      </c>
    </row>
    <row r="4" customFormat="false" ht="15" hidden="false" customHeight="false" outlineLevel="0" collapsed="false">
      <c r="A4" s="3" t="s">
        <v>12</v>
      </c>
      <c r="B4" s="3" t="s">
        <v>13</v>
      </c>
      <c r="C4" s="3" t="s">
        <v>75</v>
      </c>
      <c r="D4" s="3" t="n">
        <v>2026</v>
      </c>
      <c r="E4" s="4" t="n">
        <v>140000</v>
      </c>
      <c r="F4" s="3" t="s">
        <v>76</v>
      </c>
      <c r="G4" s="3" t="s">
        <v>77</v>
      </c>
    </row>
    <row r="5" customFormat="false" ht="15" hidden="false" customHeight="false" outlineLevel="0" collapsed="false">
      <c r="A5" s="5" t="s">
        <v>20</v>
      </c>
      <c r="B5" s="5" t="s">
        <v>21</v>
      </c>
      <c r="C5" s="5" t="s">
        <v>75</v>
      </c>
      <c r="D5" s="5" t="n">
        <v>2026</v>
      </c>
      <c r="E5" s="6" t="n">
        <v>93000</v>
      </c>
      <c r="F5" s="5" t="s">
        <v>76</v>
      </c>
      <c r="G5" s="5" t="s">
        <v>77</v>
      </c>
    </row>
    <row r="6" customFormat="false" ht="15" hidden="false" customHeight="false" outlineLevel="0" collapsed="false">
      <c r="A6" s="3" t="s">
        <v>27</v>
      </c>
      <c r="B6" s="3" t="s">
        <v>28</v>
      </c>
      <c r="C6" s="3" t="s">
        <v>75</v>
      </c>
      <c r="D6" s="3" t="n">
        <v>2026</v>
      </c>
      <c r="E6" s="4" t="n">
        <v>101000</v>
      </c>
      <c r="F6" s="3" t="s">
        <v>76</v>
      </c>
      <c r="G6" s="3" t="s">
        <v>77</v>
      </c>
    </row>
    <row r="7" customFormat="false" ht="15" hidden="false" customHeight="false" outlineLevel="0" collapsed="false">
      <c r="A7" s="5" t="s">
        <v>34</v>
      </c>
      <c r="B7" s="5" t="s">
        <v>35</v>
      </c>
      <c r="C7" s="5" t="s">
        <v>75</v>
      </c>
      <c r="D7" s="5" t="n">
        <v>2026</v>
      </c>
      <c r="E7" s="6" t="n">
        <v>64000</v>
      </c>
      <c r="F7" s="5" t="s">
        <v>76</v>
      </c>
      <c r="G7" s="5" t="s">
        <v>77</v>
      </c>
    </row>
    <row r="8" customFormat="false" ht="15" hidden="false" customHeight="false" outlineLevel="0" collapsed="false">
      <c r="A8" s="3" t="s">
        <v>12</v>
      </c>
      <c r="B8" s="3" t="s">
        <v>13</v>
      </c>
      <c r="C8" s="3" t="s">
        <v>78</v>
      </c>
      <c r="D8" s="3" t="n">
        <v>2026</v>
      </c>
      <c r="E8" s="4" t="n">
        <v>140000</v>
      </c>
      <c r="F8" s="3" t="s">
        <v>76</v>
      </c>
      <c r="G8" s="3" t="s">
        <v>79</v>
      </c>
    </row>
    <row r="9" customFormat="false" ht="15" hidden="false" customHeight="false" outlineLevel="0" collapsed="false">
      <c r="A9" s="5" t="s">
        <v>20</v>
      </c>
      <c r="B9" s="5" t="s">
        <v>21</v>
      </c>
      <c r="C9" s="5" t="s">
        <v>78</v>
      </c>
      <c r="D9" s="5" t="n">
        <v>2026</v>
      </c>
      <c r="E9" s="6" t="n">
        <v>93000</v>
      </c>
      <c r="F9" s="5" t="s">
        <v>76</v>
      </c>
      <c r="G9" s="5" t="s">
        <v>79</v>
      </c>
    </row>
    <row r="10" customFormat="false" ht="15" hidden="false" customHeight="false" outlineLevel="0" collapsed="false">
      <c r="A10" s="3" t="s">
        <v>27</v>
      </c>
      <c r="B10" s="3" t="s">
        <v>28</v>
      </c>
      <c r="C10" s="3" t="s">
        <v>78</v>
      </c>
      <c r="D10" s="3" t="n">
        <v>2026</v>
      </c>
      <c r="E10" s="4" t="n">
        <v>101000</v>
      </c>
      <c r="F10" s="3" t="s">
        <v>76</v>
      </c>
      <c r="G10" s="3" t="s">
        <v>79</v>
      </c>
    </row>
    <row r="11" customFormat="false" ht="15" hidden="false" customHeight="false" outlineLevel="0" collapsed="false">
      <c r="A11" s="5" t="s">
        <v>34</v>
      </c>
      <c r="B11" s="5" t="s">
        <v>35</v>
      </c>
      <c r="C11" s="5" t="s">
        <v>78</v>
      </c>
      <c r="D11" s="5" t="n">
        <v>2026</v>
      </c>
      <c r="E11" s="6" t="n">
        <v>64000</v>
      </c>
      <c r="F11" s="5" t="s">
        <v>76</v>
      </c>
      <c r="G11" s="5" t="s">
        <v>79</v>
      </c>
    </row>
    <row r="12" customFormat="false" ht="15" hidden="false" customHeight="false" outlineLevel="0" collapsed="false">
      <c r="A12" s="3" t="s">
        <v>12</v>
      </c>
      <c r="B12" s="3" t="s">
        <v>13</v>
      </c>
      <c r="C12" s="3" t="s">
        <v>80</v>
      </c>
      <c r="D12" s="3" t="n">
        <v>2026</v>
      </c>
      <c r="E12" s="4" t="n">
        <v>140000</v>
      </c>
      <c r="F12" s="3" t="s">
        <v>76</v>
      </c>
      <c r="G12" s="3" t="s">
        <v>81</v>
      </c>
    </row>
    <row r="13" customFormat="false" ht="15" hidden="false" customHeight="false" outlineLevel="0" collapsed="false">
      <c r="A13" s="5" t="s">
        <v>20</v>
      </c>
      <c r="B13" s="5" t="s">
        <v>21</v>
      </c>
      <c r="C13" s="5" t="s">
        <v>80</v>
      </c>
      <c r="D13" s="5" t="n">
        <v>2026</v>
      </c>
      <c r="E13" s="6" t="n">
        <v>93000</v>
      </c>
      <c r="F13" s="5" t="s">
        <v>76</v>
      </c>
      <c r="G13" s="5" t="s">
        <v>81</v>
      </c>
    </row>
    <row r="14" customFormat="false" ht="15" hidden="false" customHeight="false" outlineLevel="0" collapsed="false">
      <c r="A14" s="3" t="s">
        <v>27</v>
      </c>
      <c r="B14" s="3" t="s">
        <v>28</v>
      </c>
      <c r="C14" s="3" t="s">
        <v>80</v>
      </c>
      <c r="D14" s="3" t="n">
        <v>2026</v>
      </c>
      <c r="E14" s="4" t="n">
        <v>101000</v>
      </c>
      <c r="F14" s="3" t="s">
        <v>76</v>
      </c>
      <c r="G14" s="3" t="s">
        <v>81</v>
      </c>
    </row>
    <row r="15" customFormat="false" ht="15" hidden="false" customHeight="false" outlineLevel="0" collapsed="false">
      <c r="A15" s="5" t="s">
        <v>34</v>
      </c>
      <c r="B15" s="5" t="s">
        <v>35</v>
      </c>
      <c r="C15" s="5" t="s">
        <v>80</v>
      </c>
      <c r="D15" s="5" t="n">
        <v>2026</v>
      </c>
      <c r="E15" s="6" t="n">
        <v>64000</v>
      </c>
      <c r="F15" s="5" t="s">
        <v>76</v>
      </c>
      <c r="G15" s="5" t="s">
        <v>81</v>
      </c>
    </row>
    <row r="16" customFormat="false" ht="15" hidden="false" customHeight="false" outlineLevel="0" collapsed="false">
      <c r="A16" s="3" t="s">
        <v>12</v>
      </c>
      <c r="B16" s="3" t="s">
        <v>13</v>
      </c>
      <c r="C16" s="3" t="s">
        <v>82</v>
      </c>
      <c r="D16" s="3" t="n">
        <v>2026</v>
      </c>
      <c r="E16" s="4" t="n">
        <v>140000</v>
      </c>
      <c r="F16" s="3" t="s">
        <v>76</v>
      </c>
      <c r="G16" s="3" t="s">
        <v>83</v>
      </c>
    </row>
    <row r="17" customFormat="false" ht="15" hidden="false" customHeight="false" outlineLevel="0" collapsed="false">
      <c r="A17" s="5" t="s">
        <v>20</v>
      </c>
      <c r="B17" s="5" t="s">
        <v>21</v>
      </c>
      <c r="C17" s="5" t="s">
        <v>82</v>
      </c>
      <c r="D17" s="5" t="n">
        <v>2026</v>
      </c>
      <c r="E17" s="6" t="n">
        <v>93000</v>
      </c>
      <c r="F17" s="5" t="s">
        <v>76</v>
      </c>
      <c r="G17" s="5" t="s">
        <v>83</v>
      </c>
    </row>
    <row r="18" customFormat="false" ht="15" hidden="false" customHeight="false" outlineLevel="0" collapsed="false">
      <c r="A18" s="3" t="s">
        <v>27</v>
      </c>
      <c r="B18" s="3" t="s">
        <v>28</v>
      </c>
      <c r="C18" s="3" t="s">
        <v>82</v>
      </c>
      <c r="D18" s="3" t="n">
        <v>2026</v>
      </c>
      <c r="E18" s="4" t="n">
        <v>101000</v>
      </c>
      <c r="F18" s="3" t="s">
        <v>76</v>
      </c>
      <c r="G18" s="3" t="s">
        <v>83</v>
      </c>
    </row>
    <row r="19" customFormat="false" ht="15" hidden="false" customHeight="false" outlineLevel="0" collapsed="false">
      <c r="A19" s="5" t="s">
        <v>34</v>
      </c>
      <c r="B19" s="5" t="s">
        <v>35</v>
      </c>
      <c r="C19" s="5" t="s">
        <v>82</v>
      </c>
      <c r="D19" s="5" t="n">
        <v>2026</v>
      </c>
      <c r="E19" s="6" t="n">
        <v>64000</v>
      </c>
      <c r="F19" s="5" t="s">
        <v>76</v>
      </c>
      <c r="G19" s="5" t="s">
        <v>83</v>
      </c>
    </row>
    <row r="20" customFormat="false" ht="15" hidden="false" customHeight="false" outlineLevel="0" collapsed="false">
      <c r="A20" s="3" t="s">
        <v>41</v>
      </c>
      <c r="B20" s="3" t="s">
        <v>42</v>
      </c>
      <c r="C20" s="3" t="s">
        <v>75</v>
      </c>
      <c r="D20" s="3" t="n">
        <v>2026</v>
      </c>
      <c r="E20" s="4" t="n">
        <v>200000</v>
      </c>
      <c r="F20" s="3" t="s">
        <v>76</v>
      </c>
      <c r="G20" s="3" t="s">
        <v>77</v>
      </c>
    </row>
    <row r="21" customFormat="false" ht="15" hidden="false" customHeight="false" outlineLevel="0" collapsed="false">
      <c r="A21" s="5" t="s">
        <v>41</v>
      </c>
      <c r="B21" s="5" t="s">
        <v>42</v>
      </c>
      <c r="C21" s="5" t="s">
        <v>78</v>
      </c>
      <c r="D21" s="5" t="n">
        <v>2026</v>
      </c>
      <c r="E21" s="6" t="n">
        <v>200000</v>
      </c>
      <c r="F21" s="5" t="s">
        <v>76</v>
      </c>
      <c r="G21" s="5" t="s">
        <v>79</v>
      </c>
    </row>
    <row r="22" customFormat="false" ht="15" hidden="false" customHeight="false" outlineLevel="0" collapsed="false">
      <c r="A22" s="3" t="s">
        <v>41</v>
      </c>
      <c r="B22" s="3" t="s">
        <v>42</v>
      </c>
      <c r="C22" s="3" t="s">
        <v>80</v>
      </c>
      <c r="D22" s="3" t="n">
        <v>2026</v>
      </c>
      <c r="E22" s="4" t="n">
        <v>200000</v>
      </c>
      <c r="F22" s="3" t="s">
        <v>76</v>
      </c>
      <c r="G22" s="3" t="s">
        <v>81</v>
      </c>
    </row>
    <row r="23" customFormat="false" ht="15" hidden="false" customHeight="false" outlineLevel="0" collapsed="false">
      <c r="A23" s="5" t="s">
        <v>41</v>
      </c>
      <c r="B23" s="5" t="s">
        <v>42</v>
      </c>
      <c r="C23" s="5" t="s">
        <v>82</v>
      </c>
      <c r="D23" s="5" t="n">
        <v>2026</v>
      </c>
      <c r="E23" s="6" t="n">
        <v>200000</v>
      </c>
      <c r="F23" s="5" t="s">
        <v>76</v>
      </c>
      <c r="G23" s="5" t="s">
        <v>83</v>
      </c>
    </row>
    <row r="24" customFormat="false" ht="15" hidden="false" customHeight="false" outlineLevel="0" collapsed="false">
      <c r="A24" s="3" t="s">
        <v>47</v>
      </c>
      <c r="B24" s="3" t="s">
        <v>48</v>
      </c>
      <c r="C24" s="3" t="s">
        <v>75</v>
      </c>
      <c r="D24" s="3" t="n">
        <v>2026</v>
      </c>
      <c r="E24" s="4" t="n">
        <v>100000</v>
      </c>
      <c r="F24" s="3" t="s">
        <v>76</v>
      </c>
      <c r="G24" s="3" t="s">
        <v>77</v>
      </c>
    </row>
    <row r="25" customFormat="false" ht="15" hidden="false" customHeight="false" outlineLevel="0" collapsed="false">
      <c r="A25" s="5" t="s">
        <v>47</v>
      </c>
      <c r="B25" s="5" t="s">
        <v>48</v>
      </c>
      <c r="C25" s="5" t="s">
        <v>78</v>
      </c>
      <c r="D25" s="5" t="n">
        <v>2026</v>
      </c>
      <c r="E25" s="6" t="n">
        <v>100000</v>
      </c>
      <c r="F25" s="5" t="s">
        <v>76</v>
      </c>
      <c r="G25" s="5" t="s">
        <v>79</v>
      </c>
    </row>
    <row r="26" customFormat="false" ht="15" hidden="false" customHeight="false" outlineLevel="0" collapsed="false">
      <c r="A26" s="3" t="s">
        <v>47</v>
      </c>
      <c r="B26" s="3" t="s">
        <v>48</v>
      </c>
      <c r="C26" s="3" t="s">
        <v>80</v>
      </c>
      <c r="D26" s="3" t="n">
        <v>2026</v>
      </c>
      <c r="E26" s="4" t="n">
        <v>100000</v>
      </c>
      <c r="F26" s="3" t="s">
        <v>76</v>
      </c>
      <c r="G26" s="3" t="s">
        <v>81</v>
      </c>
    </row>
    <row r="27" customFormat="false" ht="15" hidden="false" customHeight="false" outlineLevel="0" collapsed="false">
      <c r="A27" s="5" t="s">
        <v>47</v>
      </c>
      <c r="B27" s="5" t="s">
        <v>48</v>
      </c>
      <c r="C27" s="5" t="s">
        <v>82</v>
      </c>
      <c r="D27" s="5" t="n">
        <v>2026</v>
      </c>
      <c r="E27" s="6" t="n">
        <v>100000</v>
      </c>
      <c r="F27" s="5" t="s">
        <v>76</v>
      </c>
      <c r="G27" s="5" t="s">
        <v>83</v>
      </c>
    </row>
    <row r="29" customFormat="false" ht="15" hidden="false" customHeight="false" outlineLevel="0" collapsed="false">
      <c r="D29" s="7" t="s">
        <v>84</v>
      </c>
      <c r="E29" s="8" t="n">
        <f aca="false">SUM(E4:E27)</f>
        <v>2792000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3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13"/>
  </cols>
  <sheetData>
    <row r="1" customFormat="false" ht="25.5" hidden="false" customHeight="true" outlineLevel="0" collapsed="false">
      <c r="A1" s="1" t="s">
        <v>85</v>
      </c>
      <c r="B1" s="1"/>
      <c r="C1" s="1"/>
      <c r="D1" s="1"/>
      <c r="E1" s="1"/>
      <c r="F1" s="1"/>
      <c r="G1" s="1"/>
      <c r="H1" s="1"/>
      <c r="I1" s="1"/>
    </row>
    <row r="2" customFormat="false" ht="6" hidden="false" customHeight="true" outlineLevel="0" collapsed="false"/>
    <row r="3" customFormat="false" ht="15" hidden="false" customHeight="false" outlineLevel="0" collapsed="false">
      <c r="A3" s="2" t="s">
        <v>1</v>
      </c>
      <c r="B3" s="2" t="s">
        <v>56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6</v>
      </c>
      <c r="I3" s="2" t="s">
        <v>91</v>
      </c>
    </row>
    <row r="4" customFormat="false" ht="15" hidden="false" customHeight="false" outlineLevel="0" collapsed="false">
      <c r="A4" s="3" t="s">
        <v>12</v>
      </c>
      <c r="B4" s="3" t="s">
        <v>13</v>
      </c>
      <c r="C4" s="3" t="s">
        <v>92</v>
      </c>
      <c r="D4" s="3" t="s">
        <v>93</v>
      </c>
      <c r="E4" s="3" t="s">
        <v>94</v>
      </c>
      <c r="F4" s="3" t="n">
        <f aca="false">E4-D4+1</f>
        <v>3</v>
      </c>
      <c r="G4" s="3" t="s">
        <v>95</v>
      </c>
      <c r="H4" s="3" t="s">
        <v>96</v>
      </c>
      <c r="I4" s="3" t="s">
        <v>52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2026-07-18T04:37:53Z</dcterms:created>
  <dc:creator>openpyxl</dc:creator>
  <dc:description/>
  <dc:language>en-US</dc:language>
  <cp:lastModifiedBy/>
  <dcterms:modified xsi:type="dcterms:W3CDTF">2026-07-18T04:37:53Z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